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Fund Performance" sheetId="2" state="visible" r:id="rId2"/>
    <sheet name="Portfolio Detail" sheetId="3" state="visible" r:id="rId3"/>
    <sheet name="Cash Flows" sheetId="4" state="visible" r:id="rId4"/>
    <sheet name="Scenario Analysis" sheetId="5" state="visible" r:id="rId5"/>
    <sheet name="Sector Allocation" sheetId="6" state="visible" r:id="rId6"/>
  </sheets>
  <definedNames>
    <definedName name="FundSize">'Executive Summary'!$B5</definedName>
    <definedName name="InvestedCapital">'Executive Summary'!$B8</definedName>
    <definedName name="TotalValue">'Executive Summary'!$B11</definedName>
    <definedName name="LatestNAV">'Cash Flows'!$F22</definedName>
    <definedName name="LatestMOIC">'Executive Summary'!$B$16</definedName>
    <definedName name="_xlnm._FilterDatabase" localSheetId="2" hidden="1">'Portfolio Detail'!$A$2:$K$2</definedName>
    <definedName name="_xlnm.Print_Titles" localSheetId="2">'Portfolio Detail'!$1:$2</definedName>
    <definedName name="_xlnm.Print_Titles" localSheetId="3">'Cash Flows'!$1:$2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,,&quot;M&quot;"/>
    <numFmt numFmtId="165" formatCode="0.0%"/>
    <numFmt numFmtId="166" formatCode="0.00&quot;x&quot;"/>
    <numFmt numFmtId="167" formatCode="yyyy-mm-dd"/>
  </numFmts>
  <fonts count="8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B0B0B0"/>
      <sz val="13"/>
    </font>
    <font>
      <b val="1"/>
      <sz val="14"/>
      <u val="single"/>
    </font>
    <font>
      <b val="1"/>
    </font>
    <font>
      <b val="1"/>
      <color rgb="00FFFFFF"/>
      <sz val="16"/>
    </font>
    <font>
      <b val="1"/>
      <color rgb="00FFFFFF"/>
    </font>
    <font>
      <color rgb="000563C1"/>
      <u val="single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4472C4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70AD47"/>
      </patternFill>
    </fill>
    <fill>
      <patternFill patternType="solid">
        <fgColor rgb="009673A6"/>
      </patternFill>
    </fill>
  </fills>
  <borders count="10">
    <border>
      <left/>
      <right/>
      <top/>
      <bottom/>
      <diagonal/>
    </border>
    <border>
      <left style="medium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medium"/>
      <top style="thin"/>
      <bottom style="medium"/>
    </border>
    <border>
      <left style="thin"/>
      <right style="thin"/>
      <top style="medium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1" pivotButton="0" quotePrefix="0" xfId="0"/>
    <xf numFmtId="164" fontId="0" fillId="0" borderId="2" pivotButton="0" quotePrefix="0" xfId="0"/>
    <xf numFmtId="0" fontId="4" fillId="0" borderId="3" pivotButton="0" quotePrefix="0" xfId="0"/>
    <xf numFmtId="1" fontId="0" fillId="0" borderId="4" pivotButton="0" quotePrefix="0" xfId="0"/>
    <xf numFmtId="0" fontId="0" fillId="0" borderId="4" pivotButton="0" quotePrefix="0" xfId="0"/>
    <xf numFmtId="164" fontId="0" fillId="0" borderId="4" pivotButton="0" quotePrefix="0" xfId="0"/>
    <xf numFmtId="0" fontId="4" fillId="0" borderId="5" pivotButton="0" quotePrefix="0" xfId="0"/>
    <xf numFmtId="164" fontId="0" fillId="0" borderId="6" pivotButton="0" quotePrefix="0" xfId="0"/>
    <xf numFmtId="165" fontId="0" fillId="0" borderId="2" pivotButton="0" quotePrefix="0" xfId="0"/>
    <xf numFmtId="165" fontId="0" fillId="0" borderId="4" pivotButton="0" quotePrefix="0" xfId="0"/>
    <xf numFmtId="166" fontId="0" fillId="0" borderId="4" pivotButton="0" quotePrefix="0" xfId="0"/>
    <xf numFmtId="166" fontId="0" fillId="0" borderId="6" pivotButton="0" quotePrefix="0" xfId="0"/>
    <xf numFmtId="0" fontId="4" fillId="0" borderId="0" pivotButton="0" quotePrefix="0" xfId="0"/>
    <xf numFmtId="3" fontId="0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4" fontId="4" fillId="0" borderId="0" pivotButton="0" quotePrefix="0" xfId="0"/>
    <xf numFmtId="0" fontId="6" fillId="2" borderId="0" applyAlignment="1" pivotButton="0" quotePrefix="0" xfId="0">
      <alignment horizontal="center" wrapText="1"/>
    </xf>
    <xf numFmtId="0" fontId="4" fillId="4" borderId="0" pivotButton="0" quotePrefix="0" xfId="0"/>
    <xf numFmtId="0" fontId="0" fillId="4" borderId="0" pivotButton="0" quotePrefix="0" xfId="0"/>
    <xf numFmtId="167" fontId="0" fillId="4" borderId="0" pivotButton="0" quotePrefix="0" xfId="0"/>
    <xf numFmtId="164" fontId="0" fillId="4" borderId="0" pivotButton="0" quotePrefix="0" xfId="0"/>
    <xf numFmtId="166" fontId="0" fillId="4" borderId="0" pivotButton="0" quotePrefix="0" xfId="0"/>
    <xf numFmtId="165" fontId="0" fillId="4" borderId="0" pivotButton="0" quotePrefix="0" xfId="0"/>
    <xf numFmtId="0" fontId="4" fillId="5" borderId="0" pivotButton="0" quotePrefix="0" xfId="0"/>
    <xf numFmtId="0" fontId="0" fillId="5" borderId="0" pivotButton="0" quotePrefix="0" xfId="0"/>
    <xf numFmtId="167" fontId="0" fillId="5" borderId="0" pivotButton="0" quotePrefix="0" xfId="0"/>
    <xf numFmtId="164" fontId="0" fillId="5" borderId="0" pivotButton="0" quotePrefix="0" xfId="0"/>
    <xf numFmtId="166" fontId="0" fillId="5" borderId="0" pivotButton="0" quotePrefix="0" xfId="0"/>
    <xf numFmtId="165" fontId="0" fillId="5" borderId="0" pivotButton="0" quotePrefix="0" xfId="0"/>
    <xf numFmtId="166" fontId="4" fillId="0" borderId="0" pivotButton="0" quotePrefix="0" xfId="0"/>
    <xf numFmtId="165" fontId="4" fillId="0" borderId="0" pivotButton="0" quotePrefix="0" xfId="0"/>
    <xf numFmtId="0" fontId="6" fillId="6" borderId="0" applyAlignment="1" pivotButton="0" quotePrefix="0" xfId="0">
      <alignment horizontal="center" wrapText="1"/>
    </xf>
    <xf numFmtId="0" fontId="6" fillId="3" borderId="1" applyAlignment="1" pivotButton="0" quotePrefix="0" xfId="0">
      <alignment horizontal="center"/>
    </xf>
    <xf numFmtId="0" fontId="6" fillId="3" borderId="7" applyAlignment="1" pivotButton="0" quotePrefix="0" xfId="0">
      <alignment horizontal="center"/>
    </xf>
    <xf numFmtId="0" fontId="6" fillId="3" borderId="2" applyAlignment="1" pivotButton="0" quotePrefix="0" xfId="0">
      <alignment horizontal="center"/>
    </xf>
    <xf numFmtId="165" fontId="0" fillId="0" borderId="8" pivotButton="0" quotePrefix="0" xfId="0"/>
    <xf numFmtId="1" fontId="0" fillId="0" borderId="8" pivotButton="0" quotePrefix="0" xfId="0"/>
    <xf numFmtId="165" fontId="0" fillId="0" borderId="9" pivotButton="0" quotePrefix="0" xfId="0"/>
    <xf numFmtId="165" fontId="0" fillId="0" borderId="6" pivotButton="0" quotePrefix="0" xfId="0"/>
    <xf numFmtId="0" fontId="6" fillId="6" borderId="1" applyAlignment="1" pivotButton="0" quotePrefix="0" xfId="0">
      <alignment horizontal="center"/>
    </xf>
    <xf numFmtId="0" fontId="6" fillId="6" borderId="7" applyAlignment="1" pivotButton="0" quotePrefix="0" xfId="0">
      <alignment horizontal="center"/>
    </xf>
    <xf numFmtId="0" fontId="6" fillId="6" borderId="2" applyAlignment="1" pivotButton="0" quotePrefix="0" xfId="0">
      <alignment horizontal="center"/>
    </xf>
    <xf numFmtId="164" fontId="0" fillId="0" borderId="8" pivotButton="0" quotePrefix="0" xfId="0"/>
    <xf numFmtId="166" fontId="0" fillId="0" borderId="9" pivotButton="0" quotePrefix="0" xfId="0"/>
    <xf numFmtId="0" fontId="6" fillId="2" borderId="0" pivotButton="0" quotePrefix="0" xfId="0"/>
    <xf numFmtId="0" fontId="6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7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FC7CE"/>
        </patternFill>
      </fill>
    </dxf>
    <dxf>
      <font>
        <color rgb="00006100"/>
      </font>
    </dxf>
    <dxf>
      <font>
        <color rgb="009C000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Annual Cash Flows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'Fund Performance'!B2</f>
            </strRef>
          </tx>
          <spPr>
            <a:ln>
              <a:prstDash val="solid"/>
            </a:ln>
          </spPr>
          <cat>
            <numRef>
              <f>'Fund Performance'!$A$3:$A$7</f>
            </numRef>
          </cat>
          <val>
            <numRef>
              <f>'Fund Performance'!$B$3:$B$7</f>
            </numRef>
          </val>
        </ser>
        <ser>
          <idx val="1"/>
          <order val="1"/>
          <tx>
            <strRef>
              <f>'Fund Performance'!C2</f>
            </strRef>
          </tx>
          <spPr>
            <a:ln>
              <a:prstDash val="solid"/>
            </a:ln>
          </spPr>
          <cat>
            <numRef>
              <f>'Fund Performance'!$A$3:$A$7</f>
            </numRef>
          </cat>
          <val>
            <numRef>
              <f>'Fund Performance'!$C$3:$C$7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IRR vs Benchmark</a:t>
            </a:r>
          </a:p>
        </rich>
      </tx>
    </title>
    <plotArea>
      <lineChart>
        <grouping val="standard"/>
        <ser>
          <idx val="0"/>
          <order val="0"/>
          <tx>
            <strRef>
              <f>'Fund Performance'!F2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'Fund Performance'!$A$3:$A$7</f>
            </numRef>
          </cat>
          <val>
            <numRef>
              <f>'Fund Performance'!$F$3:$F$7</f>
            </numRef>
          </val>
        </ser>
        <ser>
          <idx val="1"/>
          <order val="1"/>
          <tx>
            <strRef>
              <f>'Fund Performance'!H2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'Fund Performance'!$A$3:$A$7</f>
            </numRef>
          </cat>
          <val>
            <numRef>
              <f>'Fund Performance'!$H$3:$H$7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IRR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Portfolio Map</a:t>
            </a:r>
          </a:p>
        </rich>
      </tx>
    </title>
    <plotArea>
      <bubbleChart>
        <ser>
          <idx val="0"/>
          <order val="0"/>
          <tx>
            <v>Portfolio Companies</v>
          </tx>
          <spPr>
            <a:ln>
              <a:prstDash val="solid"/>
            </a:ln>
          </spPr>
          <xVal>
            <numRef>
              <f>'Holdings'!$G$3:$G$10</f>
            </numRef>
          </xVal>
          <yVal>
            <numRef>
              <f>'Holdings'!$I$3:$I$10</f>
            </numRef>
          </yVal>
          <bubbleSize>
            <numRef>
              <f>'Holdings'!$E$3:$E$10</f>
            </numRef>
          </bubbleSize>
        </ser>
        <axId val="10"/>
        <axId val="20"/>
      </bubble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NAV Growth</a:t>
            </a:r>
          </a:p>
        </rich>
      </tx>
    </title>
    <plotArea>
      <areaChart>
        <grouping val="standard"/>
        <ser>
          <idx val="0"/>
          <order val="0"/>
          <tx>
            <strRef>
              <f>'Cash Flows'!F2</f>
            </strRef>
          </tx>
          <spPr>
            <a:ln>
              <a:prstDash val="solid"/>
            </a:ln>
          </spPr>
          <cat>
            <numRef>
              <f>'Cash Flows'!$A$3:$A$22</f>
            </numRef>
          </cat>
          <val>
            <numRef>
              <f>'Cash Flows'!$F$3:$F$22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Contributions &amp; Distributions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'Cash Flows'!B2</f>
            </strRef>
          </tx>
          <spPr>
            <a:ln>
              <a:prstDash val="solid"/>
            </a:ln>
          </spPr>
          <cat>
            <numRef>
              <f>'Cash Flows'!$A$3:$A$22</f>
            </numRef>
          </cat>
          <val>
            <numRef>
              <f>'Cash Flows'!$B$3:$B$22</f>
            </numRef>
          </val>
        </ser>
        <ser>
          <idx val="1"/>
          <order val="1"/>
          <tx>
            <strRef>
              <f>'Cash Flows'!C2</f>
            </strRef>
          </tx>
          <spPr>
            <a:ln>
              <a:prstDash val="solid"/>
            </a:ln>
          </spPr>
          <cat>
            <numRef>
              <f>'Cash Flows'!$A$3:$A$22</f>
            </numRef>
          </cat>
          <val>
            <numRef>
              <f>'Cash Flows'!$C$3:$C$22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Scenario MOIC Comparison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'Scenario Analysis'!$F$30:$H$30</f>
            </numRef>
          </cat>
          <val>
            <numRef>
              <f>'Scenario Analysis'!$B$18</f>
            </numRef>
          </val>
        </ser>
        <ser>
          <idx val="1"/>
          <order val="1"/>
          <spPr>
            <a:ln>
              <a:prstDash val="solid"/>
            </a:ln>
          </spPr>
          <cat>
            <numRef>
              <f>'Scenario Analysis'!$F$30:$H$30</f>
            </numRef>
          </cat>
          <val>
            <numRef>
              <f>'Scenario Analysis'!$C$18</f>
            </numRef>
          </val>
        </ser>
        <ser>
          <idx val="2"/>
          <order val="2"/>
          <spPr>
            <a:ln>
              <a:prstDash val="solid"/>
            </a:ln>
          </spPr>
          <cat>
            <numRef>
              <f>'Scenario Analysis'!$F$30:$H$30</f>
            </numRef>
          </cat>
          <val>
            <numRef>
              <f>'Scenario Analysis'!$D$18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MOIC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Sector Allocation by Fair Value</a:t>
            </a:r>
          </a:p>
        </rich>
      </tx>
    </title>
    <plotArea>
      <doughnutChart>
        <varyColors val="1"/>
        <ser>
          <idx val="0"/>
          <order val="0"/>
          <tx>
            <strRef>
              <f>'Sector Allocation'!D2</f>
            </strRef>
          </tx>
          <spPr>
            <a:ln>
              <a:prstDash val="solid"/>
            </a:ln>
          </spPr>
          <cat>
            <numRef>
              <f>'Sector Allocation'!$A$3:$A$10</f>
            </numRef>
          </cat>
          <val>
            <numRef>
              <f>'Sector Allocation'!$D$3:$D$10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667500" cy="333375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27</row>
      <rowOff>0</rowOff>
    </from>
    <ext cx="6667500" cy="28575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7620000" cy="381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25</row>
      <rowOff>0</rowOff>
    </from>
    <ext cx="6667500" cy="28575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43</row>
      <rowOff>0</rowOff>
    </from>
    <ext cx="6667500" cy="28575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20</row>
      <rowOff>0</rowOff>
    </from>
    <ext cx="4762500" cy="28575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5715000" cy="380988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Fund Performance'!A1" TargetMode="External" Id="rId1" /><Relationship Type="http://schemas.openxmlformats.org/officeDocument/2006/relationships/hyperlink" Target="#'Portfolio Detail'!A1" TargetMode="External" Id="rId2" /><Relationship Type="http://schemas.openxmlformats.org/officeDocument/2006/relationships/hyperlink" Target="#'Cash Flows'!A1" TargetMode="External" Id="rId3" /><Relationship Type="http://schemas.openxmlformats.org/officeDocument/2006/relationships/hyperlink" Target="#'Scenario Analysis'!A1" TargetMode="External" Id="rId4" /><Relationship Type="http://schemas.openxmlformats.org/officeDocument/2006/relationships/hyperlink" Target="#'Sector Allocation'!A1" TargetMode="Externa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 ht="30" customHeight="1">
      <c r="A1" s="1" t="inlineStr">
        <is>
          <t>Meridian Capital Partners</t>
        </is>
      </c>
    </row>
    <row r="2" ht="22" customHeight="1">
      <c r="A2" s="2" t="inlineStr">
        <is>
          <t>Fund III — Q4 2025 Portfolio Review</t>
        </is>
      </c>
    </row>
    <row r="4">
      <c r="A4" s="3" t="inlineStr">
        <is>
          <t>Fund Overview</t>
        </is>
      </c>
    </row>
    <row r="5">
      <c r="A5" s="4" t="inlineStr">
        <is>
          <t>Fund Size</t>
        </is>
      </c>
      <c r="B5" s="5" t="n">
        <v>500000000</v>
      </c>
    </row>
    <row r="6">
      <c r="A6" s="6" t="inlineStr">
        <is>
          <t>Vintage Year</t>
        </is>
      </c>
      <c r="B6" s="7" t="n">
        <v>2021</v>
      </c>
    </row>
    <row r="7">
      <c r="A7" s="6" t="inlineStr">
        <is>
          <t>Investment Period</t>
        </is>
      </c>
      <c r="B7" s="8" t="inlineStr">
        <is>
          <t>2021–2024</t>
        </is>
      </c>
    </row>
    <row r="8">
      <c r="A8" s="6" t="inlineStr">
        <is>
          <t>Invested Capital</t>
        </is>
      </c>
      <c r="B8" s="9" t="n">
        <v>385000000</v>
      </c>
    </row>
    <row r="9">
      <c r="A9" s="6" t="inlineStr">
        <is>
          <t>Realized Value</t>
        </is>
      </c>
      <c r="B9" s="9" t="n">
        <v>142000000</v>
      </c>
    </row>
    <row r="10">
      <c r="A10" s="6" t="inlineStr">
        <is>
          <t>Unrealized Value</t>
        </is>
      </c>
      <c r="B10" s="9" t="n">
        <v>498000000</v>
      </c>
    </row>
    <row r="11">
      <c r="A11" s="10" t="inlineStr">
        <is>
          <t>Total Value</t>
        </is>
      </c>
      <c r="B11" s="11">
        <f>B9+B10</f>
        <v/>
      </c>
    </row>
    <row r="13">
      <c r="A13" s="3" t="inlineStr">
        <is>
          <t>Performance</t>
        </is>
      </c>
    </row>
    <row r="14">
      <c r="A14" s="4" t="inlineStr">
        <is>
          <t>Net IRR</t>
        </is>
      </c>
      <c r="B14" s="12" t="n">
        <v>0.218</v>
      </c>
    </row>
    <row r="15">
      <c r="A15" s="6" t="inlineStr">
        <is>
          <t>Gross IRR</t>
        </is>
      </c>
      <c r="B15" s="13" t="n">
        <v>0.267</v>
      </c>
    </row>
    <row r="16">
      <c r="A16" s="6" t="inlineStr">
        <is>
          <t>Net MOIC</t>
        </is>
      </c>
      <c r="B16" s="14" t="n">
        <v>1.66</v>
      </c>
    </row>
    <row r="17">
      <c r="A17" s="6" t="inlineStr">
        <is>
          <t>DPI (Distributions/Paid-In)</t>
        </is>
      </c>
      <c r="B17" s="14">
        <f>B9/B8</f>
        <v/>
      </c>
    </row>
    <row r="18">
      <c r="A18" s="6" t="inlineStr">
        <is>
          <t>RVPI (Residual/Paid-In)</t>
        </is>
      </c>
      <c r="B18" s="14">
        <f>B10/B8</f>
        <v/>
      </c>
    </row>
    <row r="19">
      <c r="A19" s="10" t="inlineStr">
        <is>
          <t>TVPI (Total/Paid-In)</t>
        </is>
      </c>
      <c r="B19" s="15">
        <f>B11/B8</f>
        <v/>
      </c>
    </row>
    <row r="21">
      <c r="A21" s="3" t="inlineStr">
        <is>
          <t>Portfolio Snapshot</t>
        </is>
      </c>
    </row>
    <row r="22">
      <c r="A22" s="16" t="inlineStr">
        <is>
          <t>Active Companies</t>
        </is>
      </c>
      <c r="B22" s="17" t="n">
        <v>8</v>
      </c>
    </row>
    <row r="23">
      <c r="A23" s="16" t="inlineStr">
        <is>
          <t>Fully Exited</t>
        </is>
      </c>
      <c r="B23" s="17" t="n">
        <v>2</v>
      </c>
    </row>
    <row r="26">
      <c r="A26" s="3" t="inlineStr">
        <is>
          <t>Quick Navigation</t>
        </is>
      </c>
    </row>
    <row r="27">
      <c r="A27" s="55" t="inlineStr">
        <is>
          <t>Fund Performance</t>
        </is>
      </c>
    </row>
    <row r="28">
      <c r="A28" s="55" t="inlineStr">
        <is>
          <t>Portfolio Detail</t>
        </is>
      </c>
    </row>
    <row r="29">
      <c r="A29" s="55" t="inlineStr">
        <is>
          <t>Cash Flows</t>
        </is>
      </c>
    </row>
    <row r="30">
      <c r="A30" s="55" t="inlineStr">
        <is>
          <t>Scenario Analysis</t>
        </is>
      </c>
    </row>
    <row r="31">
      <c r="A31" s="55" t="inlineStr">
        <is>
          <t>Sector Allocation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2">
    <mergeCell ref="A2:F2"/>
    <mergeCell ref="A1:F1"/>
  </mergeCells>
  <conditionalFormatting sqref="B14">
    <cfRule type="cellIs" priority="1" operator="greaterThan" dxfId="0">
      <formula>0.15</formula>
    </cfRule>
    <cfRule type="cellIs" priority="2" operator="between" dxfId="1">
      <formula>0.08</formula>
      <formula>0.15</formula>
    </cfRule>
    <cfRule type="cellIs" priority="3" operator="lessThan" dxfId="2">
      <formula>0.08</formula>
    </cfRule>
  </conditionalFormatting>
  <hyperlinks>
    <hyperlink xmlns:r="http://schemas.openxmlformats.org/officeDocument/2006/relationships" ref="A27" r:id="rId1"/>
    <hyperlink xmlns:r="http://schemas.openxmlformats.org/officeDocument/2006/relationships" ref="A28" r:id="rId2"/>
    <hyperlink xmlns:r="http://schemas.openxmlformats.org/officeDocument/2006/relationships" ref="A29" r:id="rId3"/>
    <hyperlink xmlns:r="http://schemas.openxmlformats.org/officeDocument/2006/relationships" ref="A30" r:id="rId4"/>
    <hyperlink xmlns:r="http://schemas.openxmlformats.org/officeDocument/2006/relationships" ref="A31" r:id="rId5"/>
  </hyperlinks>
  <pageMargins left="0.75" right="0.75" top="1" bottom="1" header="0.5" footer="0.5"/>
  <pageSetup orientation="landscape" fitToWidth="1"/>
  <headerFooter>
    <oddHeader/>
    <oddFooter>&amp;LMeridian Capital Partners&amp;CConfidential&amp;RQ4 2025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8" t="inlineStr">
        <is>
          <t>Fund Performance &amp; Benchmarks</t>
        </is>
      </c>
    </row>
    <row r="2">
      <c r="A2" s="19" t="inlineStr">
        <is>
          <t>Year</t>
        </is>
      </c>
      <c r="B2" s="19" t="inlineStr">
        <is>
          <t>Contributions</t>
        </is>
      </c>
      <c r="C2" s="19" t="inlineStr">
        <is>
          <t>Distributions</t>
        </is>
      </c>
      <c r="D2" s="19" t="inlineStr">
        <is>
          <t>Net Cash Flow</t>
        </is>
      </c>
      <c r="E2" s="19" t="inlineStr">
        <is>
          <t>Cumulative Net</t>
        </is>
      </c>
      <c r="F2" s="19" t="inlineStr">
        <is>
          <t>Net IRR</t>
        </is>
      </c>
      <c r="G2" s="19" t="inlineStr">
        <is>
          <t>MOIC</t>
        </is>
      </c>
      <c r="H2" s="19" t="inlineStr">
        <is>
          <t>Benchmark IRR</t>
        </is>
      </c>
    </row>
    <row r="3">
      <c r="A3" s="16" t="n">
        <v>2021</v>
      </c>
      <c r="B3" s="20" t="n">
        <v>-125000000</v>
      </c>
      <c r="C3" s="20" t="n">
        <v>0</v>
      </c>
      <c r="D3" s="20">
        <f>B3+C3</f>
        <v/>
      </c>
      <c r="E3" s="20">
        <f>D3</f>
        <v/>
      </c>
      <c r="F3" s="21" t="n">
        <v>-0.08</v>
      </c>
      <c r="G3" s="22" t="n">
        <v>0.92</v>
      </c>
      <c r="H3" s="21" t="n">
        <v>-0.05</v>
      </c>
    </row>
    <row r="4">
      <c r="A4" s="16" t="n">
        <v>2022</v>
      </c>
      <c r="B4" s="20" t="n">
        <v>-140000000</v>
      </c>
      <c r="C4" s="20" t="n">
        <v>12000000</v>
      </c>
      <c r="D4" s="20">
        <f>B4+C4</f>
        <v/>
      </c>
      <c r="E4" s="20">
        <f>E3+D4</f>
        <v/>
      </c>
      <c r="F4" s="21" t="n">
        <v>-0.03</v>
      </c>
      <c r="G4" s="22" t="n">
        <v>0.95</v>
      </c>
      <c r="H4" s="21" t="n">
        <v>0.02</v>
      </c>
    </row>
    <row r="5">
      <c r="A5" s="16" t="n">
        <v>2023</v>
      </c>
      <c r="B5" s="20" t="n">
        <v>-85000000</v>
      </c>
      <c r="C5" s="20" t="n">
        <v>58000000</v>
      </c>
      <c r="D5" s="20">
        <f>B5+C5</f>
        <v/>
      </c>
      <c r="E5" s="20">
        <f>E4+D5</f>
        <v/>
      </c>
      <c r="F5" s="21" t="n">
        <v>0.11</v>
      </c>
      <c r="G5" s="22" t="n">
        <v>1.18</v>
      </c>
      <c r="H5" s="21" t="n">
        <v>0.09</v>
      </c>
    </row>
    <row r="6">
      <c r="A6" s="16" t="n">
        <v>2024</v>
      </c>
      <c r="B6" s="20" t="n">
        <v>-35000000</v>
      </c>
      <c r="C6" s="20" t="n">
        <v>72000000</v>
      </c>
      <c r="D6" s="20">
        <f>B6+C6</f>
        <v/>
      </c>
      <c r="E6" s="20">
        <f>E5+D6</f>
        <v/>
      </c>
      <c r="F6" s="21" t="n">
        <v>0.19</v>
      </c>
      <c r="G6" s="22" t="n">
        <v>1.48</v>
      </c>
      <c r="H6" s="21" t="n">
        <v>0.14</v>
      </c>
    </row>
    <row r="7">
      <c r="A7" s="16" t="n">
        <v>2025</v>
      </c>
      <c r="B7" s="20" t="n">
        <v>0</v>
      </c>
      <c r="C7" s="20" t="n">
        <v>0</v>
      </c>
      <c r="D7" s="20">
        <f>B7+C7</f>
        <v/>
      </c>
      <c r="E7" s="20">
        <f>E6+D7</f>
        <v/>
      </c>
      <c r="F7" s="21" t="n">
        <v>0.218</v>
      </c>
      <c r="G7" s="22" t="n">
        <v>1.66</v>
      </c>
      <c r="H7" s="21" t="n">
        <v>0.16</v>
      </c>
    </row>
    <row r="8">
      <c r="A8" s="16" t="inlineStr">
        <is>
          <t>Total</t>
        </is>
      </c>
      <c r="B8" s="23">
        <f>SUM(B3:B7)</f>
        <v/>
      </c>
      <c r="C8" s="23">
        <f>SUM(C3:C7)</f>
        <v/>
      </c>
      <c r="D8" s="23">
        <f>SUM(D3:D7)</f>
        <v/>
      </c>
      <c r="E8" s="16" t="inlineStr"/>
      <c r="F8" s="16" t="inlineStr"/>
      <c r="G8" s="16" t="inlineStr"/>
      <c r="H8" s="16" t="inlineStr"/>
    </row>
  </sheetData>
  <mergeCells count="1">
    <mergeCell ref="A1:H1"/>
  </mergeCells>
  <conditionalFormatting sqref="F3:F7">
    <cfRule type="cellIs" priority="1" operator="greaterThan" dxfId="3">
      <formula>0.15</formula>
    </cfRule>
    <cfRule type="cellIs" priority="2" operator="lessThan" dxfId="4">
      <formula>0</formula>
    </cfRule>
  </conditionalFormatting>
  <conditionalFormatting sqref="G3:G7">
    <cfRule type="cellIs" priority="3" operator="greaterThan" dxfId="0">
      <formula>1.5</formula>
    </cfRule>
    <cfRule type="cellIs" priority="4" operator="between" dxfId="1">
      <formula>1.0</formula>
      <formula>1.5</formula>
    </cfRule>
    <cfRule type="cellIs" priority="5" operator="lessThan" dxfId="2">
      <formula>1.0</formula>
    </cfRule>
  </conditionalFormatting>
  <conditionalFormatting sqref="C3:C7">
    <cfRule type="dataBar" priority="6">
      <dataBar showValue="1">
        <cfvo type="min"/>
        <cfvo type="max"/>
        <color rgb="004472C4"/>
      </dataBar>
    </cfRule>
  </conditionalFormatting>
  <pageMargins left="0.75" right="0.75" top="1" bottom="1" header="0.5" footer="0.5"/>
  <pageSetup orientation="landscape"/>
  <headerFooter>
    <oddHeader/>
    <oddFooter>&amp;LMeridian Capital Partners&amp;CConfidential&amp;RQ4 2025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  <col width="10" customWidth="1" min="6" max="6"/>
    <col width="16" customWidth="1" min="7" max="7"/>
    <col width="16" customWidth="1" min="8" max="8"/>
    <col width="14" customWidth="1" min="9" max="9"/>
    <col width="14" customWidth="1" min="10" max="10"/>
    <col width="12" customWidth="1" min="11" max="11"/>
  </cols>
  <sheetData>
    <row r="1" ht="28" customHeight="1">
      <c r="A1" s="18" t="inlineStr">
        <is>
          <t>Portfolio Holdings Detail</t>
        </is>
      </c>
    </row>
    <row r="2" ht="30" customHeight="1">
      <c r="A2" s="24" t="inlineStr">
        <is>
          <t>Company</t>
        </is>
      </c>
      <c r="B2" s="24" t="inlineStr">
        <is>
          <t>Sector</t>
        </is>
      </c>
      <c r="C2" s="24" t="inlineStr">
        <is>
          <t>Investment Date</t>
        </is>
      </c>
      <c r="D2" s="24" t="inlineStr">
        <is>
          <t>Cost Basis</t>
        </is>
      </c>
      <c r="E2" s="24" t="inlineStr">
        <is>
          <t>Fair Value</t>
        </is>
      </c>
      <c r="F2" s="24" t="inlineStr">
        <is>
          <t>MOIC</t>
        </is>
      </c>
      <c r="G2" s="24" t="inlineStr">
        <is>
          <t>Revenue (LTM)</t>
        </is>
      </c>
      <c r="H2" s="24" t="inlineStr">
        <is>
          <t>EBITDA (LTM)</t>
        </is>
      </c>
      <c r="I2" s="24" t="inlineStr">
        <is>
          <t>EBITDA Margin</t>
        </is>
      </c>
      <c r="J2" s="24" t="inlineStr">
        <is>
          <t>Rev Growth YoY</t>
        </is>
      </c>
      <c r="K2" s="24" t="inlineStr">
        <is>
          <t>Status</t>
        </is>
      </c>
      <c r="L2" s="52" t="inlineStr">
        <is>
          <t>Investment Thesis</t>
        </is>
      </c>
      <c r="M2" s="52" t="inlineStr">
        <is>
          <t>Watchlist</t>
        </is>
      </c>
    </row>
    <row r="3">
      <c r="A3" s="25" t="inlineStr">
        <is>
          <t>Helios Energy</t>
        </is>
      </c>
      <c r="B3" s="26" t="inlineStr">
        <is>
          <t>Clean Energy</t>
        </is>
      </c>
      <c r="C3" s="27" t="n">
        <v>44270</v>
      </c>
      <c r="D3" s="28" t="n">
        <v>65000000</v>
      </c>
      <c r="E3" s="28" t="n">
        <v>142000000</v>
      </c>
      <c r="F3" s="29">
        <f>E3/D3</f>
        <v/>
      </c>
      <c r="G3" s="28" t="n">
        <v>89000000</v>
      </c>
      <c r="H3" s="28" t="n">
        <v>22000000</v>
      </c>
      <c r="I3" s="30">
        <f>H3/G3</f>
        <v/>
      </c>
      <c r="J3" s="30" t="n">
        <v>0.42</v>
      </c>
      <c r="K3" s="26" t="inlineStr">
        <is>
          <t>Active</t>
        </is>
      </c>
      <c r="L3" t="inlineStr">
        <is>
          <t>Grid-scale battery storage leader</t>
        </is>
      </c>
      <c r="M3" t="inlineStr">
        <is>
          <t>Green</t>
        </is>
      </c>
    </row>
    <row r="4">
      <c r="A4" s="31" t="inlineStr">
        <is>
          <t>NovaBio Sciences</t>
        </is>
      </c>
      <c r="B4" s="32" t="inlineStr">
        <is>
          <t>Healthcare</t>
        </is>
      </c>
      <c r="C4" s="33" t="n">
        <v>44369</v>
      </c>
      <c r="D4" s="34" t="n">
        <v>45000000</v>
      </c>
      <c r="E4" s="34" t="n">
        <v>38000000</v>
      </c>
      <c r="F4" s="35">
        <f>E4/D4</f>
        <v/>
      </c>
      <c r="G4" s="34" t="n">
        <v>31000000</v>
      </c>
      <c r="H4" s="34" t="n">
        <v>-2000000</v>
      </c>
      <c r="I4" s="36">
        <f>H4/G4</f>
        <v/>
      </c>
      <c r="J4" s="36" t="n">
        <v>0.08</v>
      </c>
      <c r="K4" s="32" t="inlineStr">
        <is>
          <t>Active</t>
        </is>
      </c>
      <c r="L4" t="inlineStr">
        <is>
          <t>Novel drug delivery platform</t>
        </is>
      </c>
      <c r="M4" t="inlineStr">
        <is>
          <t>Red</t>
        </is>
      </c>
    </row>
    <row r="5">
      <c r="A5" s="25" t="inlineStr">
        <is>
          <t>Axion Robotics</t>
        </is>
      </c>
      <c r="B5" s="26" t="inlineStr">
        <is>
          <t>Industrials</t>
        </is>
      </c>
      <c r="C5" s="27" t="n">
        <v>44501</v>
      </c>
      <c r="D5" s="28" t="n">
        <v>55000000</v>
      </c>
      <c r="E5" s="28" t="n">
        <v>98000000</v>
      </c>
      <c r="F5" s="29">
        <f>E5/D5</f>
        <v/>
      </c>
      <c r="G5" s="28" t="n">
        <v>72000000</v>
      </c>
      <c r="H5" s="28" t="n">
        <v>18000000</v>
      </c>
      <c r="I5" s="30">
        <f>H5/G5</f>
        <v/>
      </c>
      <c r="J5" s="30" t="n">
        <v>0.35</v>
      </c>
      <c r="K5" s="26" t="inlineStr">
        <is>
          <t>Active</t>
        </is>
      </c>
      <c r="L5" t="inlineStr">
        <is>
          <t>Warehouse automation at scale</t>
        </is>
      </c>
      <c r="M5" t="inlineStr">
        <is>
          <t>Green</t>
        </is>
      </c>
    </row>
    <row r="6">
      <c r="A6" s="31" t="inlineStr">
        <is>
          <t>Prism Analytics</t>
        </is>
      </c>
      <c r="B6" s="32" t="inlineStr">
        <is>
          <t>Software</t>
        </is>
      </c>
      <c r="C6" s="33" t="n">
        <v>44606</v>
      </c>
      <c r="D6" s="34" t="n">
        <v>40000000</v>
      </c>
      <c r="E6" s="34" t="n">
        <v>88000000</v>
      </c>
      <c r="F6" s="35">
        <f>E6/D6</f>
        <v/>
      </c>
      <c r="G6" s="34" t="n">
        <v>54000000</v>
      </c>
      <c r="H6" s="34" t="n">
        <v>16000000</v>
      </c>
      <c r="I6" s="36">
        <f>H6/G6</f>
        <v/>
      </c>
      <c r="J6" s="36" t="n">
        <v>0.55</v>
      </c>
      <c r="K6" s="32" t="inlineStr">
        <is>
          <t>Active</t>
        </is>
      </c>
      <c r="L6" t="inlineStr">
        <is>
          <t>AI-native business intelligence</t>
        </is>
      </c>
      <c r="M6" t="inlineStr">
        <is>
          <t>Green</t>
        </is>
      </c>
    </row>
    <row r="7">
      <c r="A7" s="25" t="inlineStr">
        <is>
          <t>Stratos Logistics</t>
        </is>
      </c>
      <c r="B7" s="26" t="inlineStr">
        <is>
          <t>Logistics</t>
        </is>
      </c>
      <c r="C7" s="27" t="n">
        <v>44772</v>
      </c>
      <c r="D7" s="28" t="n">
        <v>35000000</v>
      </c>
      <c r="E7" s="28" t="n">
        <v>42000000</v>
      </c>
      <c r="F7" s="29">
        <f>E7/D7</f>
        <v/>
      </c>
      <c r="G7" s="28" t="n">
        <v>48000000</v>
      </c>
      <c r="H7" s="28" t="n">
        <v>8000000</v>
      </c>
      <c r="I7" s="30">
        <f>H7/G7</f>
        <v/>
      </c>
      <c r="J7" s="30" t="n">
        <v>0.18</v>
      </c>
      <c r="K7" s="26" t="inlineStr">
        <is>
          <t>Active</t>
        </is>
      </c>
      <c r="L7" t="inlineStr">
        <is>
          <t>Last-mile delivery optimization</t>
        </is>
      </c>
      <c r="M7" t="inlineStr">
        <is>
          <t>Yellow</t>
        </is>
      </c>
    </row>
    <row r="8">
      <c r="A8" s="31" t="inlineStr">
        <is>
          <t>Cirrus Cloud</t>
        </is>
      </c>
      <c r="B8" s="32" t="inlineStr">
        <is>
          <t>Software</t>
        </is>
      </c>
      <c r="C8" s="33" t="n">
        <v>44822</v>
      </c>
      <c r="D8" s="34" t="n">
        <v>50000000</v>
      </c>
      <c r="E8" s="34" t="n">
        <v>105000000</v>
      </c>
      <c r="F8" s="35">
        <f>E8/D8</f>
        <v/>
      </c>
      <c r="G8" s="34" t="n">
        <v>68000000</v>
      </c>
      <c r="H8" s="34" t="n">
        <v>21000000</v>
      </c>
      <c r="I8" s="36">
        <f>H8/G8</f>
        <v/>
      </c>
      <c r="J8" s="36" t="n">
        <v>0.48</v>
      </c>
      <c r="K8" s="32" t="inlineStr">
        <is>
          <t>Active</t>
        </is>
      </c>
      <c r="L8" t="inlineStr">
        <is>
          <t>Multi-cloud infrastructure orchestration</t>
        </is>
      </c>
      <c r="M8" t="inlineStr">
        <is>
          <t>Green</t>
        </is>
      </c>
    </row>
    <row r="9">
      <c r="A9" s="25" t="inlineStr">
        <is>
          <t>Verdant Agriculture</t>
        </is>
      </c>
      <c r="B9" s="26" t="inlineStr">
        <is>
          <t>AgTech</t>
        </is>
      </c>
      <c r="C9" s="27" t="n">
        <v>44936</v>
      </c>
      <c r="D9" s="28" t="n">
        <v>30000000</v>
      </c>
      <c r="E9" s="28" t="n">
        <v>27000000</v>
      </c>
      <c r="F9" s="29">
        <f>E9/D9</f>
        <v/>
      </c>
      <c r="G9" s="28" t="n">
        <v>19000000</v>
      </c>
      <c r="H9" s="28" t="n">
        <v>1000000</v>
      </c>
      <c r="I9" s="30">
        <f>H9/G9</f>
        <v/>
      </c>
      <c r="J9" s="30" t="n">
        <v>0.12</v>
      </c>
      <c r="K9" s="26" t="inlineStr">
        <is>
          <t>Active</t>
        </is>
      </c>
      <c r="L9" t="inlineStr">
        <is>
          <t>Precision agriculture IoT</t>
        </is>
      </c>
      <c r="M9" t="inlineStr">
        <is>
          <t>Yellow</t>
        </is>
      </c>
    </row>
    <row r="10">
      <c r="A10" s="31" t="inlineStr">
        <is>
          <t>Quantum Mesh</t>
        </is>
      </c>
      <c r="B10" s="32" t="inlineStr">
        <is>
          <t>Telecom</t>
        </is>
      </c>
      <c r="C10" s="33" t="n">
        <v>45066</v>
      </c>
      <c r="D10" s="34" t="n">
        <v>25000000</v>
      </c>
      <c r="E10" s="34" t="n">
        <v>36000000</v>
      </c>
      <c r="F10" s="35">
        <f>E10/D10</f>
        <v/>
      </c>
      <c r="G10" s="34" t="n">
        <v>22000000</v>
      </c>
      <c r="H10" s="34" t="n">
        <v>5000000</v>
      </c>
      <c r="I10" s="36">
        <f>H10/G10</f>
        <v/>
      </c>
      <c r="J10" s="36" t="n">
        <v>0.28</v>
      </c>
      <c r="K10" s="32" t="inlineStr">
        <is>
          <t>Active</t>
        </is>
      </c>
      <c r="L10" t="inlineStr">
        <is>
          <t>Private 5G network solutions</t>
        </is>
      </c>
      <c r="M10" t="inlineStr">
        <is>
          <t>Green</t>
        </is>
      </c>
    </row>
    <row r="11">
      <c r="A11" s="25" t="inlineStr">
        <is>
          <t>Bolt Payments</t>
        </is>
      </c>
      <c r="B11" s="26" t="inlineStr">
        <is>
          <t>Fintech</t>
        </is>
      </c>
      <c r="C11" s="27" t="n">
        <v>44413</v>
      </c>
      <c r="D11" s="28" t="n">
        <v>20000000</v>
      </c>
      <c r="E11" s="28" t="n">
        <v>0</v>
      </c>
      <c r="F11" s="29">
        <f>E11/D11</f>
        <v/>
      </c>
      <c r="G11" s="28" t="n">
        <v>0</v>
      </c>
      <c r="H11" s="28" t="n">
        <v>0</v>
      </c>
      <c r="I11" s="30" t="n">
        <v>0</v>
      </c>
      <c r="J11" s="30" t="n">
        <v>0</v>
      </c>
      <c r="K11" s="26" t="inlineStr">
        <is>
          <t>Written Off</t>
        </is>
      </c>
      <c r="L11" t="inlineStr">
        <is>
          <t>Real-time cross-border payments</t>
        </is>
      </c>
      <c r="M11" t="inlineStr">
        <is>
          <t>Red</t>
        </is>
      </c>
    </row>
    <row r="12">
      <c r="A12" s="31" t="inlineStr">
        <is>
          <t>Apex Dynamics</t>
        </is>
      </c>
      <c r="B12" s="32" t="inlineStr">
        <is>
          <t>SaaS</t>
        </is>
      </c>
      <c r="C12" s="33" t="n">
        <v>44663</v>
      </c>
      <c r="D12" s="34" t="n">
        <v>20000000</v>
      </c>
      <c r="E12" s="34" t="n">
        <v>62000000</v>
      </c>
      <c r="F12" s="35">
        <f>E12/D12</f>
        <v/>
      </c>
      <c r="G12" s="34" t="n">
        <v>41000000</v>
      </c>
      <c r="H12" s="34" t="n">
        <v>12000000</v>
      </c>
      <c r="I12" s="36">
        <f>H12/G12</f>
        <v/>
      </c>
      <c r="J12" s="36" t="n">
        <v>0.62</v>
      </c>
      <c r="K12" s="32" t="inlineStr">
        <is>
          <t>Exited</t>
        </is>
      </c>
      <c r="L12" t="inlineStr">
        <is>
          <t>Vertical SaaS for construction</t>
        </is>
      </c>
      <c r="M12" t="inlineStr">
        <is>
          <t>Green</t>
        </is>
      </c>
    </row>
    <row r="13">
      <c r="A13" s="16" t="inlineStr">
        <is>
          <t>Totals</t>
        </is>
      </c>
      <c r="D13" s="23">
        <f>SUM(D3:D12)</f>
        <v/>
      </c>
      <c r="E13" s="23">
        <f>SUM(E3:E12)</f>
        <v/>
      </c>
      <c r="F13" s="37">
        <f>E13/D13</f>
        <v/>
      </c>
      <c r="G13" s="23">
        <f>SUM(G3:G12)</f>
        <v/>
      </c>
      <c r="H13" s="23">
        <f>SUM(H3:H12)</f>
        <v/>
      </c>
      <c r="I13" s="38">
        <f>H13/G13</f>
        <v/>
      </c>
    </row>
  </sheetData>
  <autoFilter ref="A2:K2"/>
  <mergeCells count="1">
    <mergeCell ref="A1:K1"/>
  </mergeCells>
  <conditionalFormatting sqref="F3:F1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:J12">
    <cfRule type="dataBar" priority="2">
      <dataBar>
        <cfvo type="min" val="0"/>
        <cfvo type="max" val="1"/>
        <color rgb="0070AD47"/>
      </dataBar>
    </cfRule>
  </conditionalFormatting>
  <conditionalFormatting sqref="M3:M12">
    <cfRule type="expression" priority="3" dxfId="0" stopIfTrue="0">
      <formula>M3="Green"</formula>
    </cfRule>
    <cfRule type="expression" priority="4" dxfId="1" stopIfTrue="0">
      <formula>M3="Yellow"</formula>
    </cfRule>
    <cfRule type="expression" priority="5" dxfId="2" stopIfTrue="0">
      <formula>M3="Red"</formula>
    </cfRule>
  </conditionalFormatting>
  <dataValidations count="2">
    <dataValidation sqref="K3:K12" showDropDown="0" showInputMessage="0" showErrorMessage="0" allowBlank="1" type="list">
      <formula1>"Active,Exited,Written Off"</formula1>
    </dataValidation>
    <dataValidation sqref="M3:M12" showDropDown="0" showInputMessage="0" showErrorMessage="0" allowBlank="1" type="list">
      <formula1>"Green,Yellow,Red"</formula1>
    </dataValidation>
  </dataValidations>
  <pageMargins left="0.75" right="0.75" top="1" bottom="1" header="0.5" footer="0.5"/>
  <pageSetup orientation="landscape"/>
  <headerFooter>
    <oddHeader/>
    <oddFooter>&amp;LMeridian Capital Partners&amp;CConfidential&amp;RQ4 2025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8" customHeight="1">
      <c r="A1" s="18" t="inlineStr">
        <is>
          <t>Quarterly Cash Flow Detail</t>
        </is>
      </c>
    </row>
    <row r="2" ht="30" customHeight="1">
      <c r="A2" s="39" t="inlineStr">
        <is>
          <t>Quarter</t>
        </is>
      </c>
      <c r="B2" s="39" t="inlineStr">
        <is>
          <t>Contributions</t>
        </is>
      </c>
      <c r="C2" s="39" t="inlineStr">
        <is>
          <t>Distributions</t>
        </is>
      </c>
      <c r="D2" s="39" t="inlineStr">
        <is>
          <t>Net Cash Flow</t>
        </is>
      </c>
      <c r="E2" s="39" t="inlineStr">
        <is>
          <t>Cumulative Cash Flow</t>
        </is>
      </c>
      <c r="F2" s="39" t="inlineStr">
        <is>
          <t>NAV</t>
        </is>
      </c>
      <c r="G2" s="53" t="inlineStr">
        <is>
          <t>Total Return</t>
        </is>
      </c>
    </row>
    <row r="3">
      <c r="A3" s="16" t="inlineStr">
        <is>
          <t>Q1 2021</t>
        </is>
      </c>
      <c r="B3" s="20" t="n">
        <v>-50000000</v>
      </c>
      <c r="C3" s="20" t="n">
        <v>0</v>
      </c>
      <c r="D3" s="20">
        <f>B3+C3</f>
        <v/>
      </c>
      <c r="E3" s="20">
        <f>D3</f>
        <v/>
      </c>
      <c r="F3" s="20" t="n">
        <v>48000000</v>
      </c>
      <c r="G3" s="20">
        <f>E3+F3</f>
        <v/>
      </c>
    </row>
    <row r="4">
      <c r="A4" s="16" t="inlineStr">
        <is>
          <t>Q2 2021</t>
        </is>
      </c>
      <c r="B4" s="20" t="n">
        <v>-75000000</v>
      </c>
      <c r="C4" s="20" t="n">
        <v>0</v>
      </c>
      <c r="D4" s="20">
        <f>B4+C4</f>
        <v/>
      </c>
      <c r="E4" s="20">
        <f>E3+D4</f>
        <v/>
      </c>
      <c r="F4" s="20" t="n">
        <v>118000000</v>
      </c>
      <c r="G4" s="20">
        <f>E4+F4</f>
        <v/>
      </c>
    </row>
    <row r="5">
      <c r="A5" s="16" t="inlineStr">
        <is>
          <t>Q3 2021</t>
        </is>
      </c>
      <c r="B5" s="20" t="n">
        <v>0</v>
      </c>
      <c r="C5" s="20" t="n">
        <v>0</v>
      </c>
      <c r="D5" s="20">
        <f>B5+C5</f>
        <v/>
      </c>
      <c r="E5" s="20">
        <f>E4+D5</f>
        <v/>
      </c>
      <c r="F5" s="20" t="n">
        <v>122000000</v>
      </c>
      <c r="G5" s="20">
        <f>E5+F5</f>
        <v/>
      </c>
    </row>
    <row r="6">
      <c r="A6" s="16" t="inlineStr">
        <is>
          <t>Q4 2021</t>
        </is>
      </c>
      <c r="B6" s="20" t="n">
        <v>0</v>
      </c>
      <c r="C6" s="20" t="n">
        <v>0</v>
      </c>
      <c r="D6" s="20">
        <f>B6+C6</f>
        <v/>
      </c>
      <c r="E6" s="20">
        <f>E5+D6</f>
        <v/>
      </c>
      <c r="F6" s="20" t="n">
        <v>115000000</v>
      </c>
      <c r="G6" s="20">
        <f>E6+F6</f>
        <v/>
      </c>
    </row>
    <row r="7">
      <c r="A7" s="16" t="inlineStr">
        <is>
          <t>Q1 2022</t>
        </is>
      </c>
      <c r="B7" s="20" t="n">
        <v>-60000000</v>
      </c>
      <c r="C7" s="20" t="n">
        <v>0</v>
      </c>
      <c r="D7" s="20">
        <f>B7+C7</f>
        <v/>
      </c>
      <c r="E7" s="20">
        <f>E6+D7</f>
        <v/>
      </c>
      <c r="F7" s="20" t="n">
        <v>168000000</v>
      </c>
      <c r="G7" s="20">
        <f>E7+F7</f>
        <v/>
      </c>
    </row>
    <row r="8">
      <c r="A8" s="16" t="inlineStr">
        <is>
          <t>Q2 2022</t>
        </is>
      </c>
      <c r="B8" s="20" t="n">
        <v>-45000000</v>
      </c>
      <c r="C8" s="20" t="n">
        <v>0</v>
      </c>
      <c r="D8" s="20">
        <f>B8+C8</f>
        <v/>
      </c>
      <c r="E8" s="20">
        <f>E7+D8</f>
        <v/>
      </c>
      <c r="F8" s="20" t="n">
        <v>210000000</v>
      </c>
      <c r="G8" s="20">
        <f>E8+F8</f>
        <v/>
      </c>
    </row>
    <row r="9">
      <c r="A9" s="16" t="inlineStr">
        <is>
          <t>Q3 2022</t>
        </is>
      </c>
      <c r="B9" s="20" t="n">
        <v>-35000000</v>
      </c>
      <c r="C9" s="20" t="n">
        <v>12000000</v>
      </c>
      <c r="D9" s="20">
        <f>B9+C9</f>
        <v/>
      </c>
      <c r="E9" s="20">
        <f>E8+D9</f>
        <v/>
      </c>
      <c r="F9" s="20" t="n">
        <v>235000000</v>
      </c>
      <c r="G9" s="20">
        <f>E9+F9</f>
        <v/>
      </c>
    </row>
    <row r="10">
      <c r="A10" s="16" t="inlineStr">
        <is>
          <t>Q4 2022</t>
        </is>
      </c>
      <c r="B10" s="20" t="n">
        <v>0</v>
      </c>
      <c r="C10" s="20" t="n">
        <v>0</v>
      </c>
      <c r="D10" s="20">
        <f>B10+C10</f>
        <v/>
      </c>
      <c r="E10" s="20">
        <f>E9+D10</f>
        <v/>
      </c>
      <c r="F10" s="20" t="n">
        <v>228000000</v>
      </c>
      <c r="G10" s="20">
        <f>E10+F10</f>
        <v/>
      </c>
    </row>
    <row r="11">
      <c r="A11" s="16" t="inlineStr">
        <is>
          <t>Q1 2023</t>
        </is>
      </c>
      <c r="B11" s="20" t="n">
        <v>-40000000</v>
      </c>
      <c r="C11" s="20" t="n">
        <v>18000000</v>
      </c>
      <c r="D11" s="20">
        <f>B11+C11</f>
        <v/>
      </c>
      <c r="E11" s="20">
        <f>E10+D11</f>
        <v/>
      </c>
      <c r="F11" s="20" t="n">
        <v>278000000</v>
      </c>
      <c r="G11" s="20">
        <f>E11+F11</f>
        <v/>
      </c>
    </row>
    <row r="12">
      <c r="A12" s="16" t="inlineStr">
        <is>
          <t>Q2 2023</t>
        </is>
      </c>
      <c r="B12" s="20" t="n">
        <v>-15000000</v>
      </c>
      <c r="C12" s="20" t="n">
        <v>0</v>
      </c>
      <c r="D12" s="20">
        <f>B12+C12</f>
        <v/>
      </c>
      <c r="E12" s="20">
        <f>E11+D12</f>
        <v/>
      </c>
      <c r="F12" s="20" t="n">
        <v>295000000</v>
      </c>
      <c r="G12" s="20">
        <f>E12+F12</f>
        <v/>
      </c>
    </row>
    <row r="13">
      <c r="A13" s="16" t="inlineStr">
        <is>
          <t>Q3 2023</t>
        </is>
      </c>
      <c r="B13" s="20" t="n">
        <v>-30000000</v>
      </c>
      <c r="C13" s="20" t="n">
        <v>20000000</v>
      </c>
      <c r="D13" s="20">
        <f>B13+C13</f>
        <v/>
      </c>
      <c r="E13" s="20">
        <f>E12+D13</f>
        <v/>
      </c>
      <c r="F13" s="20" t="n">
        <v>340000000</v>
      </c>
      <c r="G13" s="20">
        <f>E13+F13</f>
        <v/>
      </c>
    </row>
    <row r="14">
      <c r="A14" s="16" t="inlineStr">
        <is>
          <t>Q4 2023</t>
        </is>
      </c>
      <c r="B14" s="20" t="n">
        <v>0</v>
      </c>
      <c r="C14" s="20" t="n">
        <v>20000000</v>
      </c>
      <c r="D14" s="20">
        <f>B14+C14</f>
        <v/>
      </c>
      <c r="E14" s="20">
        <f>E13+D14</f>
        <v/>
      </c>
      <c r="F14" s="20" t="n">
        <v>365000000</v>
      </c>
      <c r="G14" s="20">
        <f>E14+F14</f>
        <v/>
      </c>
    </row>
    <row r="15">
      <c r="A15" s="16" t="inlineStr">
        <is>
          <t>Q1 2024</t>
        </is>
      </c>
      <c r="B15" s="20" t="n">
        <v>-20000000</v>
      </c>
      <c r="C15" s="20" t="n">
        <v>25000000</v>
      </c>
      <c r="D15" s="20">
        <f>B15+C15</f>
        <v/>
      </c>
      <c r="E15" s="20">
        <f>E14+D15</f>
        <v/>
      </c>
      <c r="F15" s="20" t="n">
        <v>410000000</v>
      </c>
      <c r="G15" s="20">
        <f>E15+F15</f>
        <v/>
      </c>
    </row>
    <row r="16">
      <c r="A16" s="16" t="inlineStr">
        <is>
          <t>Q2 2024</t>
        </is>
      </c>
      <c r="B16" s="20" t="n">
        <v>-15000000</v>
      </c>
      <c r="C16" s="20" t="n">
        <v>0</v>
      </c>
      <c r="D16" s="20">
        <f>B16+C16</f>
        <v/>
      </c>
      <c r="E16" s="20">
        <f>E15+D16</f>
        <v/>
      </c>
      <c r="F16" s="20" t="n">
        <v>438000000</v>
      </c>
      <c r="G16" s="20">
        <f>E16+F16</f>
        <v/>
      </c>
    </row>
    <row r="17">
      <c r="A17" s="16" t="inlineStr">
        <is>
          <t>Q3 2024</t>
        </is>
      </c>
      <c r="B17" s="20" t="n">
        <v>0</v>
      </c>
      <c r="C17" s="20" t="n">
        <v>27000000</v>
      </c>
      <c r="D17" s="20">
        <f>B17+C17</f>
        <v/>
      </c>
      <c r="E17" s="20">
        <f>E16+D17</f>
        <v/>
      </c>
      <c r="F17" s="20" t="n">
        <v>485000000</v>
      </c>
      <c r="G17" s="20">
        <f>E17+F17</f>
        <v/>
      </c>
    </row>
    <row r="18">
      <c r="A18" s="16" t="inlineStr">
        <is>
          <t>Q4 2024</t>
        </is>
      </c>
      <c r="B18" s="20" t="n">
        <v>0</v>
      </c>
      <c r="C18" s="20" t="n">
        <v>20000000</v>
      </c>
      <c r="D18" s="20">
        <f>B18+C18</f>
        <v/>
      </c>
      <c r="E18" s="20">
        <f>E17+D18</f>
        <v/>
      </c>
      <c r="F18" s="20" t="n">
        <v>520000000</v>
      </c>
      <c r="G18" s="20">
        <f>E18+F18</f>
        <v/>
      </c>
    </row>
    <row r="19">
      <c r="A19" s="16" t="inlineStr">
        <is>
          <t>Q1 2025</t>
        </is>
      </c>
      <c r="B19" s="20" t="n">
        <v>0</v>
      </c>
      <c r="C19" s="20" t="n">
        <v>0</v>
      </c>
      <c r="D19" s="20">
        <f>B19+C19</f>
        <v/>
      </c>
      <c r="E19" s="20">
        <f>E18+D19</f>
        <v/>
      </c>
      <c r="F19" s="20" t="n">
        <v>548000000</v>
      </c>
      <c r="G19" s="20">
        <f>E19+F19</f>
        <v/>
      </c>
    </row>
    <row r="20">
      <c r="A20" s="16" t="inlineStr">
        <is>
          <t>Q2 2025</t>
        </is>
      </c>
      <c r="B20" s="20" t="n">
        <v>0</v>
      </c>
      <c r="C20" s="20" t="n">
        <v>0</v>
      </c>
      <c r="D20" s="20">
        <f>B20+C20</f>
        <v/>
      </c>
      <c r="E20" s="20">
        <f>E19+D20</f>
        <v/>
      </c>
      <c r="F20" s="20" t="n">
        <v>575000000</v>
      </c>
      <c r="G20" s="20">
        <f>E20+F20</f>
        <v/>
      </c>
    </row>
    <row r="21">
      <c r="A21" s="16" t="inlineStr">
        <is>
          <t>Q3 2025</t>
        </is>
      </c>
      <c r="B21" s="20" t="n">
        <v>0</v>
      </c>
      <c r="C21" s="20" t="n">
        <v>0</v>
      </c>
      <c r="D21" s="20">
        <f>B21+C21</f>
        <v/>
      </c>
      <c r="E21" s="20">
        <f>E20+D21</f>
        <v/>
      </c>
      <c r="F21" s="20" t="n">
        <v>610000000</v>
      </c>
      <c r="G21" s="20">
        <f>E21+F21</f>
        <v/>
      </c>
    </row>
    <row r="22">
      <c r="A22" s="16" t="inlineStr">
        <is>
          <t>Q4 2025</t>
        </is>
      </c>
      <c r="B22" s="20" t="n">
        <v>0</v>
      </c>
      <c r="C22" s="20" t="n">
        <v>0</v>
      </c>
      <c r="D22" s="20">
        <f>B22+C22</f>
        <v/>
      </c>
      <c r="E22" s="20">
        <f>E21+D22</f>
        <v/>
      </c>
      <c r="F22" s="20" t="n">
        <v>640000000</v>
      </c>
      <c r="G22" s="20">
        <f>E22+F22</f>
        <v/>
      </c>
    </row>
    <row r="23">
      <c r="A23" s="16" t="inlineStr">
        <is>
          <t>Total</t>
        </is>
      </c>
      <c r="B23" s="23">
        <f>SUM(B3:B22)</f>
        <v/>
      </c>
      <c r="C23" s="23">
        <f>SUM(C3:C22)</f>
        <v/>
      </c>
      <c r="D23" s="23">
        <f>SUM(D3:D22)</f>
        <v/>
      </c>
      <c r="G23" s="20">
        <f>G22</f>
        <v/>
      </c>
    </row>
  </sheetData>
  <mergeCells count="1">
    <mergeCell ref="A1:F1"/>
  </mergeCells>
  <conditionalFormatting sqref="D3:D22">
    <cfRule type="cellIs" priority="1" operator="greaterThan" dxfId="0">
      <formula>0</formula>
    </cfRule>
    <cfRule type="cellIs" priority="2" operator="lessThan" dxfId="2">
      <formula>0</formula>
    </cfRule>
  </conditionalFormatting>
  <pageMargins left="0.75" right="0.75" top="1" bottom="1" header="0.5" footer="0.5"/>
  <pageSetup orientation="landscape"/>
  <headerFooter>
    <oddHeader/>
    <oddFooter>&amp;LMeridian Capital Partners&amp;CConfidential&amp;RQ4 2025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2" customWidth="1" min="5" max="5"/>
  </cols>
  <sheetData>
    <row r="1" ht="28" customHeight="1">
      <c r="A1" s="18" t="inlineStr">
        <is>
          <t>Portfolio Scenario Analysis</t>
        </is>
      </c>
    </row>
    <row r="3">
      <c r="A3" s="3" t="inlineStr">
        <is>
          <t>Assumptions</t>
        </is>
      </c>
    </row>
    <row r="4">
      <c r="A4" s="40" t="inlineStr">
        <is>
          <t>Assumption</t>
        </is>
      </c>
      <c r="B4" s="41" t="inlineStr">
        <is>
          <t>Base</t>
        </is>
      </c>
      <c r="C4" s="41" t="inlineStr">
        <is>
          <t>Bull</t>
        </is>
      </c>
      <c r="D4" s="42" t="inlineStr">
        <is>
          <t>Bear</t>
        </is>
      </c>
    </row>
    <row r="5">
      <c r="A5" s="6" t="inlineStr">
        <is>
          <t>Revenue Growth</t>
        </is>
      </c>
      <c r="B5" s="43" t="n">
        <v>0.25</v>
      </c>
      <c r="C5" s="43" t="n">
        <v>0.4</v>
      </c>
      <c r="D5" s="13" t="n">
        <v>0.1</v>
      </c>
    </row>
    <row r="6">
      <c r="A6" s="6" t="inlineStr">
        <is>
          <t>EBITDA Margin Expansion</t>
        </is>
      </c>
      <c r="B6" s="43" t="n">
        <v>0.02</v>
      </c>
      <c r="C6" s="43" t="n">
        <v>0.05</v>
      </c>
      <c r="D6" s="13" t="n">
        <v>-0.03</v>
      </c>
    </row>
    <row r="7">
      <c r="A7" s="6" t="inlineStr">
        <is>
          <t>Multiple Expansion</t>
        </is>
      </c>
      <c r="B7" s="43" t="n">
        <v>0</v>
      </c>
      <c r="C7" s="43" t="n">
        <v>0.03</v>
      </c>
      <c r="D7" s="13" t="n">
        <v>-0.05</v>
      </c>
    </row>
    <row r="8">
      <c r="A8" s="6" t="inlineStr">
        <is>
          <t>Exit Timeline (years)</t>
        </is>
      </c>
      <c r="B8" s="44" t="n">
        <v>3</v>
      </c>
      <c r="C8" s="44" t="n">
        <v>2</v>
      </c>
      <c r="D8" s="7" t="n">
        <v>5</v>
      </c>
    </row>
    <row r="9">
      <c r="A9" s="10" t="inlineStr">
        <is>
          <t>Loss Rate</t>
        </is>
      </c>
      <c r="B9" s="45" t="n">
        <v>0.05</v>
      </c>
      <c r="C9" s="45" t="n">
        <v>0.02</v>
      </c>
      <c r="D9" s="46" t="n">
        <v>0.15</v>
      </c>
    </row>
    <row r="11">
      <c r="A11" s="3" t="inlineStr">
        <is>
          <t>Projected Outcomes</t>
        </is>
      </c>
    </row>
    <row r="12">
      <c r="A12" s="47" t="inlineStr">
        <is>
          <t>Metric</t>
        </is>
      </c>
      <c r="B12" s="48" t="inlineStr">
        <is>
          <t>Base</t>
        </is>
      </c>
      <c r="C12" s="48" t="inlineStr">
        <is>
          <t>Bull</t>
        </is>
      </c>
      <c r="D12" s="49" t="inlineStr">
        <is>
          <t>Bear</t>
        </is>
      </c>
    </row>
    <row r="13">
      <c r="A13" s="6" t="inlineStr">
        <is>
          <t>Portfolio Revenue</t>
        </is>
      </c>
      <c r="B13" s="50">
        <f>'Portfolio Detail'!G13*(1+B5)</f>
        <v/>
      </c>
      <c r="C13" s="50">
        <f>'Portfolio Detail'!G13*(1+C5)</f>
        <v/>
      </c>
      <c r="D13" s="9">
        <f>'Portfolio Detail'!G13*(1+D5)</f>
        <v/>
      </c>
    </row>
    <row r="14">
      <c r="A14" s="6" t="inlineStr">
        <is>
          <t>Portfolio EBITDA</t>
        </is>
      </c>
      <c r="B14" s="50">
        <f>B13*('Portfolio Detail'!I13+B6)</f>
        <v/>
      </c>
      <c r="C14" s="50">
        <f>C13*('Portfolio Detail'!I13+C6)</f>
        <v/>
      </c>
      <c r="D14" s="9">
        <f>D13*('Portfolio Detail'!I13+D6)</f>
        <v/>
      </c>
    </row>
    <row r="15">
      <c r="A15" s="6" t="inlineStr">
        <is>
          <t>Implied EV (12x EBITDA)</t>
        </is>
      </c>
      <c r="B15" s="50">
        <f>B14*12</f>
        <v/>
      </c>
      <c r="C15" s="50">
        <f>C14*12</f>
        <v/>
      </c>
      <c r="D15" s="9">
        <f>D14*12</f>
        <v/>
      </c>
    </row>
    <row r="16">
      <c r="A16" s="6" t="inlineStr">
        <is>
          <t>Loss Adjustment</t>
        </is>
      </c>
      <c r="B16" s="50">
        <f>B15*(-B9)</f>
        <v/>
      </c>
      <c r="C16" s="50">
        <f>C15*(-C9)</f>
        <v/>
      </c>
      <c r="D16" s="9">
        <f>D15*(-D9)</f>
        <v/>
      </c>
    </row>
    <row r="17">
      <c r="A17" s="6" t="inlineStr">
        <is>
          <t>Net Portfolio Value</t>
        </is>
      </c>
      <c r="B17" s="50">
        <f>B15+B16</f>
        <v/>
      </c>
      <c r="C17" s="50">
        <f>C15+C16</f>
        <v/>
      </c>
      <c r="D17" s="9">
        <f>D15+D16</f>
        <v/>
      </c>
    </row>
    <row r="18">
      <c r="A18" s="10" t="inlineStr">
        <is>
          <t>Implied MOIC</t>
        </is>
      </c>
      <c r="B18" s="51">
        <f>B17/'Executive Summary'!B8</f>
        <v/>
      </c>
      <c r="C18" s="51">
        <f>C17/'Executive Summary'!B8</f>
        <v/>
      </c>
      <c r="D18" s="15">
        <f>D17/'Executive Summary'!B8</f>
        <v/>
      </c>
    </row>
    <row r="30">
      <c r="F30" t="inlineStr">
        <is>
          <t>Base</t>
        </is>
      </c>
      <c r="G30" t="inlineStr">
        <is>
          <t>Bull</t>
        </is>
      </c>
      <c r="H30" t="inlineStr">
        <is>
          <t>Bear</t>
        </is>
      </c>
    </row>
  </sheetData>
  <mergeCells count="1">
    <mergeCell ref="A1:E1"/>
  </mergeCells>
  <conditionalFormatting sqref="B18:D18">
    <cfRule type="cellIs" priority="1" operator="greaterThan" dxfId="0">
      <formula>2.0</formula>
    </cfRule>
    <cfRule type="cellIs" priority="2" operator="between" dxfId="1">
      <formula>1.0</formula>
      <formula>2.0</formula>
    </cfRule>
    <cfRule type="cellIs" priority="3" operator="lessThan" dxfId="2">
      <formula>1.0</formula>
    </cfRule>
  </conditionalFormatting>
  <pageMargins left="0.75" right="0.75" top="1" bottom="1" header="0.5" footer="0.5"/>
  <pageSetup orientation="landscape"/>
  <headerFooter>
    <oddHeader/>
    <oddFooter>&amp;LMeridian Capital Partners&amp;CConfidential&amp;RQ4 2025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18" customWidth="1" min="4" max="4"/>
    <col width="14" customWidth="1" min="5" max="5"/>
  </cols>
  <sheetData>
    <row r="1">
      <c r="A1" s="18" t="inlineStr">
        <is>
          <t>Sector Allocation Analysis</t>
        </is>
      </c>
    </row>
    <row r="2">
      <c r="A2" s="54" t="inlineStr">
        <is>
          <t>Sector</t>
        </is>
      </c>
      <c r="B2" s="54" t="inlineStr">
        <is>
          <t># Companies</t>
        </is>
      </c>
      <c r="C2" s="54" t="inlineStr">
        <is>
          <t>Total Cost Basis</t>
        </is>
      </c>
      <c r="D2" s="54" t="inlineStr">
        <is>
          <t>Total Fair Value</t>
        </is>
      </c>
      <c r="E2" s="54" t="inlineStr">
        <is>
          <t>Sector MOIC</t>
        </is>
      </c>
    </row>
    <row r="3">
      <c r="A3" t="inlineStr">
        <is>
          <t>Software</t>
        </is>
      </c>
      <c r="B3" t="n">
        <v>2</v>
      </c>
      <c r="C3" s="20" t="n">
        <v>90000000</v>
      </c>
      <c r="D3" s="20" t="n">
        <v>193000000</v>
      </c>
      <c r="E3" s="22">
        <f>D3/C3</f>
        <v/>
      </c>
    </row>
    <row r="4">
      <c r="A4" t="inlineStr">
        <is>
          <t>Clean Energy</t>
        </is>
      </c>
      <c r="B4" t="n">
        <v>1</v>
      </c>
      <c r="C4" s="20" t="n">
        <v>65000000</v>
      </c>
      <c r="D4" s="20" t="n">
        <v>142000000</v>
      </c>
      <c r="E4" s="22">
        <f>D4/C4</f>
        <v/>
      </c>
    </row>
    <row r="5">
      <c r="A5" t="inlineStr">
        <is>
          <t>Healthcare</t>
        </is>
      </c>
      <c r="B5" t="n">
        <v>1</v>
      </c>
      <c r="C5" s="20" t="n">
        <v>45000000</v>
      </c>
      <c r="D5" s="20" t="n">
        <v>38000000</v>
      </c>
      <c r="E5" s="22">
        <f>D5/C5</f>
        <v/>
      </c>
    </row>
    <row r="6">
      <c r="A6" t="inlineStr">
        <is>
          <t>Industrials</t>
        </is>
      </c>
      <c r="B6" t="n">
        <v>1</v>
      </c>
      <c r="C6" s="20" t="n">
        <v>55000000</v>
      </c>
      <c r="D6" s="20" t="n">
        <v>98000000</v>
      </c>
      <c r="E6" s="22">
        <f>D6/C6</f>
        <v/>
      </c>
    </row>
    <row r="7">
      <c r="A7" t="inlineStr">
        <is>
          <t>Logistics</t>
        </is>
      </c>
      <c r="B7" t="n">
        <v>1</v>
      </c>
      <c r="C7" s="20" t="n">
        <v>35000000</v>
      </c>
      <c r="D7" s="20" t="n">
        <v>42000000</v>
      </c>
      <c r="E7" s="22">
        <f>D7/C7</f>
        <v/>
      </c>
    </row>
    <row r="8">
      <c r="A8" t="inlineStr">
        <is>
          <t>AgTech</t>
        </is>
      </c>
      <c r="B8" t="n">
        <v>1</v>
      </c>
      <c r="C8" s="20" t="n">
        <v>30000000</v>
      </c>
      <c r="D8" s="20" t="n">
        <v>27000000</v>
      </c>
      <c r="E8" s="22">
        <f>D8/C8</f>
        <v/>
      </c>
    </row>
    <row r="9">
      <c r="A9" t="inlineStr">
        <is>
          <t>Telecom</t>
        </is>
      </c>
      <c r="B9" t="n">
        <v>1</v>
      </c>
      <c r="C9" s="20" t="n">
        <v>25000000</v>
      </c>
      <c r="D9" s="20" t="n">
        <v>36000000</v>
      </c>
      <c r="E9" s="22">
        <f>D9/C9</f>
        <v/>
      </c>
    </row>
    <row r="10">
      <c r="A10" t="inlineStr">
        <is>
          <t>Fintech</t>
        </is>
      </c>
      <c r="B10" t="n">
        <v>1</v>
      </c>
      <c r="C10" s="20" t="n">
        <v>20000000</v>
      </c>
      <c r="D10" s="20" t="n">
        <v>0</v>
      </c>
      <c r="E10" s="22">
        <f>D10/C10</f>
        <v/>
      </c>
    </row>
  </sheetData>
  <mergeCells count="1">
    <mergeCell ref="A1:E1"/>
  </mergeCells>
  <conditionalFormatting sqref="E3:E1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headerFooter>
    <oddHeader/>
    <oddFooter>&amp;LMeridian Capital Partners&amp;CConfidential&amp;RQ4 2025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2026-03-01T21:43:37Z</dcterms:created>
  <dcterms:modified xsi:type="dcterms:W3CDTF">2026-03-01T21:49:51Z</dcterms:modified>
</cp:coreProperties>
</file>